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ormat &amp; Scenario" sheetId="2" state="visible" r:id="rId2"/>
    <sheet xmlns:r="http://schemas.openxmlformats.org/officeDocument/2006/relationships" name="Facility" sheetId="3" state="visible" r:id="rId3"/>
    <sheet xmlns:r="http://schemas.openxmlformats.org/officeDocument/2006/relationships" name="Equipment" sheetId="4" state="visible" r:id="rId4"/>
    <sheet xmlns:r="http://schemas.openxmlformats.org/officeDocument/2006/relationships" name="Licensing &amp; Insurance" sheetId="5" state="visible" r:id="rId5"/>
    <sheet xmlns:r="http://schemas.openxmlformats.org/officeDocument/2006/relationships" name="Software &amp; Tech Stack" sheetId="6" state="visible" r:id="rId6"/>
    <sheet xmlns:r="http://schemas.openxmlformats.org/officeDocument/2006/relationships" name="Staff" sheetId="7" state="visible" r:id="rId7"/>
    <sheet xmlns:r="http://schemas.openxmlformats.org/officeDocument/2006/relationships" name="Marketing &amp; Launch" sheetId="8" state="visible" r:id="rId8"/>
    <sheet xmlns:r="http://schemas.openxmlformats.org/officeDocument/2006/relationships" name="Working Capital" sheetId="9" state="visible" r:id="rId9"/>
    <sheet xmlns:r="http://schemas.openxmlformats.org/officeDocument/2006/relationships" name="Capital Stack Builder" sheetId="10" state="visible" r:id="rId10"/>
    <sheet xmlns:r="http://schemas.openxmlformats.org/officeDocument/2006/relationships" name="Sensitivity Scenarios" sheetId="11" state="visible" r:id="rId11"/>
    <sheet xmlns:r="http://schemas.openxmlformats.org/officeDocument/2006/relationships" name="Glossary &amp; References" sheetId="12" state="visible" r:id="rId12"/>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5">
    <font>
      <name val="Calibri"/>
      <family val="2"/>
      <color theme="1"/>
      <sz val="11"/>
      <scheme val="minor"/>
    </font>
    <font>
      <name val="Arial"/>
      <b val="1"/>
      <color rgb="00FFFFFF"/>
      <sz val="18"/>
    </font>
    <font>
      <name val="Arial"/>
      <i val="1"/>
      <color rgb="008FAF8F"/>
      <sz val="11"/>
    </font>
    <font>
      <name val="Arial"/>
      <b val="1"/>
      <color rgb="0000C853"/>
      <sz val="12"/>
    </font>
    <font>
      <name val="Arial"/>
      <sz val="10"/>
    </font>
    <font>
      <name val="Arial"/>
      <b val="1"/>
      <sz val="10"/>
    </font>
    <font>
      <name val="Arial"/>
      <color rgb="0000C853"/>
      <sz val="10"/>
      <u val="single"/>
    </font>
    <font>
      <name val="Arial"/>
      <b val="1"/>
      <sz val="11"/>
    </font>
    <font>
      <name val="Arial"/>
      <b val="1"/>
      <color rgb="000000FF"/>
      <sz val="10"/>
    </font>
    <font>
      <name val="Arial"/>
      <b val="1"/>
      <color rgb="0000C853"/>
      <sz val="14"/>
    </font>
    <font>
      <name val="Arial"/>
      <i val="1"/>
      <color rgb="008FAF8F"/>
      <sz val="9"/>
    </font>
    <font>
      <name val="Arial"/>
      <b val="1"/>
      <color rgb="0000C853"/>
      <sz val="11"/>
    </font>
    <font>
      <name val="Arial"/>
      <b val="1"/>
      <color rgb="00FFFFFF"/>
      <sz val="11"/>
    </font>
    <font>
      <name val="Arial"/>
      <b val="1"/>
      <sz val="12"/>
    </font>
    <font>
      <name val="Arial"/>
      <b val="1"/>
      <sz val="14"/>
    </font>
  </fonts>
  <fills count="6">
    <fill>
      <patternFill/>
    </fill>
    <fill>
      <patternFill patternType="gray125"/>
    </fill>
    <fill>
      <patternFill patternType="solid">
        <fgColor rgb="00050D05"/>
      </patternFill>
    </fill>
    <fill>
      <patternFill patternType="solid">
        <fgColor rgb="00FFF59D"/>
      </patternFill>
    </fill>
    <fill>
      <patternFill patternType="solid">
        <fgColor rgb="0000C853"/>
      </patternFill>
    </fill>
    <fill>
      <patternFill patternType="solid">
        <fgColor rgb="00E8F5E9"/>
      </patternFill>
    </fill>
  </fills>
  <borders count="4">
    <border>
      <left/>
      <right/>
      <top/>
      <bottom/>
      <diagonal/>
    </border>
    <border>
      <left style="thin">
        <color rgb="00CCCCCC"/>
      </left>
      <right style="thin">
        <color rgb="00CCCCCC"/>
      </right>
      <top style="thin">
        <color rgb="00CCCCCC"/>
      </top>
      <bottom style="thin">
        <color rgb="00CCCCCC"/>
      </bottom>
    </border>
    <border>
      <top style="medium">
        <color rgb="0000C853"/>
      </top>
    </border>
    <border>
      <top style="medium">
        <color rgb="0000C853"/>
      </top>
      <bottom style="medium">
        <color rgb="0000C853"/>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left" vertical="center" wrapText="1"/>
    </xf>
    <xf numFmtId="0" fontId="2" fillId="0" borderId="0" pivotButton="0" quotePrefix="0" xfId="0"/>
    <xf numFmtId="0" fontId="3" fillId="0" borderId="0" pivotButton="0" quotePrefix="0" xfId="0"/>
    <xf numFmtId="0" fontId="4" fillId="0" borderId="0" applyAlignment="1" pivotButton="0" quotePrefix="0" xfId="0">
      <alignment horizontal="right" vertical="top"/>
    </xf>
    <xf numFmtId="0" fontId="4" fillId="0" borderId="0" applyAlignment="1" pivotButton="0" quotePrefix="0" xfId="0">
      <alignment horizontal="left" vertical="center" wrapText="1"/>
    </xf>
    <xf numFmtId="0" fontId="5" fillId="0" borderId="0" pivotButton="0" quotePrefix="0" xfId="0"/>
    <xf numFmtId="0" fontId="4" fillId="0" borderId="0" pivotButton="0" quotePrefix="0" xfId="0"/>
    <xf numFmtId="0" fontId="6" fillId="0" borderId="0" pivotButton="0" quotePrefix="0" xfId="0"/>
    <xf numFmtId="0" fontId="1" fillId="2" borderId="0" pivotButton="0" quotePrefix="0" xfId="0"/>
    <xf numFmtId="0" fontId="7" fillId="0" borderId="0" pivotButton="0" quotePrefix="0" xfId="0"/>
    <xf numFmtId="0" fontId="8" fillId="3" borderId="1" pivotButton="0" quotePrefix="0" xfId="0"/>
    <xf numFmtId="2" fontId="0" fillId="0" borderId="0" pivotButton="0" quotePrefix="0" xfId="0"/>
    <xf numFmtId="164" fontId="0" fillId="0" borderId="0" pivotButton="0" quotePrefix="0" xfId="0"/>
    <xf numFmtId="164" fontId="5" fillId="0" borderId="0" pivotButton="0" quotePrefix="0" xfId="0"/>
    <xf numFmtId="165" fontId="5" fillId="0" borderId="0" pivotButton="0" quotePrefix="0" xfId="0"/>
    <xf numFmtId="164" fontId="9" fillId="0" borderId="0" pivotButton="0" quotePrefix="0" xfId="0"/>
    <xf numFmtId="0" fontId="10" fillId="0" borderId="0" pivotButton="0" quotePrefix="0" xfId="0"/>
    <xf numFmtId="165" fontId="8" fillId="3" borderId="1" pivotButton="0" quotePrefix="0" xfId="0"/>
    <xf numFmtId="0" fontId="10" fillId="0" borderId="0" applyAlignment="1" pivotButton="0" quotePrefix="0" xfId="0">
      <alignment horizontal="left" vertical="center" wrapText="1"/>
    </xf>
    <xf numFmtId="164" fontId="8" fillId="3" borderId="1" pivotButton="0" quotePrefix="0" xfId="0"/>
    <xf numFmtId="164" fontId="4" fillId="0" borderId="0" pivotButton="0" quotePrefix="0" xfId="0"/>
    <xf numFmtId="0" fontId="11" fillId="0" borderId="0" pivotButton="0" quotePrefix="0" xfId="0"/>
    <xf numFmtId="164" fontId="11" fillId="0" borderId="2" pivotButton="0" quotePrefix="0" xfId="0"/>
    <xf numFmtId="0" fontId="12" fillId="4" borderId="0" applyAlignment="1" pivotButton="0" quotePrefix="0" xfId="0">
      <alignment horizontal="center" vertical="center"/>
    </xf>
    <xf numFmtId="164" fontId="7" fillId="0" borderId="0" pivotButton="0" quotePrefix="0" xfId="0"/>
    <xf numFmtId="164" fontId="3" fillId="0" borderId="2" pivotButton="0" quotePrefix="0" xfId="0"/>
    <xf numFmtId="164" fontId="9" fillId="5" borderId="1" pivotButton="0" quotePrefix="0" xfId="0"/>
    <xf numFmtId="166" fontId="8" fillId="3" borderId="1" pivotButton="0" quotePrefix="0" xfId="0"/>
    <xf numFmtId="2" fontId="8" fillId="3" borderId="1" pivotButton="0" quotePrefix="0" xfId="0"/>
    <xf numFmtId="0" fontId="13" fillId="0" borderId="0" pivotButton="0" quotePrefix="0" xfId="0"/>
    <xf numFmtId="164" fontId="14" fillId="0" borderId="1" pivotButton="0" quotePrefix="0" xfId="0"/>
    <xf numFmtId="164" fontId="11" fillId="0" borderId="3" pivotButton="0" quotePrefix="0" xfId="0"/>
    <xf numFmtId="0" fontId="5" fillId="0" borderId="0" applyAlignment="1" pivotButton="0" quotePrefix="0" xfId="0">
      <alignment horizontal="left" vertical="top"/>
    </xf>
  </cellXfs>
  <cellStyles count="1">
    <cellStyle name="Normal" xfId="0" builtinId="0" hidden="0"/>
  </cellStyles>
  <dxfs count="2">
    <dxf>
      <font>
        <name val="Arial"/>
        <b val="1"/>
        <color rgb="00C62828"/>
        <sz val="14"/>
      </font>
      <fill>
        <patternFill patternType="solid">
          <fgColor rgb="00FFCDD2"/>
        </patternFill>
      </fill>
    </dxf>
    <dxf>
      <font>
        <name val="Arial"/>
        <b val="1"/>
        <color rgb="002E7D32"/>
        <sz val="14"/>
      </font>
      <fill>
        <patternFill patternType="solid">
          <f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78" customWidth="1" min="2" max="2"/>
  </cols>
  <sheetData>
    <row r="1" ht="36" customHeight="1">
      <c r="A1" s="1" t="inlineStr">
        <is>
          <t>Gym Startup Budget Workbook</t>
        </is>
      </c>
    </row>
    <row r="2">
      <c r="A2" s="2" t="inlineStr">
        <is>
          <t>2026 — PRO Edition · v1 · refreshed May 2026</t>
        </is>
      </c>
    </row>
    <row r="4">
      <c r="A4" s="3" t="inlineStr">
        <is>
          <t>How to use this workbook</t>
        </is>
      </c>
    </row>
    <row r="5" ht="36" customHeight="1">
      <c r="A5" s="4" t="inlineStr">
        <is>
          <t>1.</t>
        </is>
      </c>
      <c r="B5" s="5" t="inlineStr">
        <is>
          <t>Start in the Format &amp; Scenario sheet. Pick your gym format, location tier, and planning scenario. Every other sheet adapts to those inputs.</t>
        </is>
      </c>
    </row>
    <row r="6" ht="36" customHeight="1">
      <c r="A6" s="4" t="inlineStr">
        <is>
          <t>2.</t>
        </is>
      </c>
      <c r="B6" s="5" t="inlineStr">
        <is>
          <t>Override the defaults. Every cell with blue bold text is a user input — change them to match your actual numbers. Black text is computed via formulas and updates automatically.</t>
        </is>
      </c>
    </row>
    <row r="7" ht="36" customHeight="1">
      <c r="A7" s="4" t="inlineStr">
        <is>
          <t>3.</t>
        </is>
      </c>
      <c r="B7" s="5" t="inlineStr">
        <is>
          <t>Build your capital stack. The Capital Stack Builder sheet tells you whether your funding sources cover your total need. If the gap is red, you do not have enough capital yet.</t>
        </is>
      </c>
    </row>
    <row r="9">
      <c r="A9" s="3" t="inlineStr">
        <is>
          <t>License</t>
        </is>
      </c>
    </row>
    <row r="10" ht="50" customHeight="1">
      <c r="A10" s="5" t="inlineStr">
        <is>
          <t>Single-user license. You may use this workbook for your own gym planning and budgeting. Do not redistribute, resell, or share the file. Reach out if you need a multi-user team license — bill@treetopgrowthstrategy.com.</t>
        </is>
      </c>
    </row>
    <row r="12">
      <c r="A12" s="3" t="inlineStr">
        <is>
          <t>Built by</t>
        </is>
      </c>
    </row>
    <row r="13">
      <c r="A13" s="6" t="inlineStr">
        <is>
          <t>Bill Colbert</t>
        </is>
      </c>
      <c r="B13" s="7" t="inlineStr">
        <is>
          <t>Founder, Treetop Growth Strategy</t>
        </is>
      </c>
    </row>
    <row r="14">
      <c r="A14" t="inlineStr">
        <is>
          <t>Website</t>
        </is>
      </c>
      <c r="B14" s="8" t="inlineStr">
        <is>
          <t>https://treetopgrowthstrategy.com</t>
        </is>
      </c>
    </row>
    <row r="15">
      <c r="A15" t="inlineStr">
        <is>
          <t>Email</t>
        </is>
      </c>
      <c r="B15" s="8" t="inlineStr">
        <is>
          <t>bill@treetopgrowthstrategy.com</t>
        </is>
      </c>
    </row>
    <row r="17">
      <c r="A17" s="3" t="inlineStr">
        <is>
          <t>Companion content (free)</t>
        </is>
      </c>
    </row>
    <row r="18">
      <c r="A18" t="inlineStr">
        <is>
          <t>Workbook</t>
        </is>
      </c>
      <c r="B18" s="8" t="inlineStr">
        <is>
          <t>https://treetopgrowthstrategy.com/gym-startup-budget-workbook</t>
        </is>
      </c>
    </row>
    <row r="19">
      <c r="A19" t="inlineStr">
        <is>
          <t>Cost guide</t>
        </is>
      </c>
      <c r="B19" s="8" t="inlineStr">
        <is>
          <t>https://treetopgrowthstrategy.com/cost-to-start-a-gym</t>
        </is>
      </c>
    </row>
    <row r="20">
      <c r="A20" t="inlineStr">
        <is>
          <t>How to open</t>
        </is>
      </c>
      <c r="B20" s="8" t="inlineStr">
        <is>
          <t>https://treetopgrowthstrategy.com/how-to-open-a-gym</t>
        </is>
      </c>
    </row>
    <row r="21">
      <c r="A21" t="inlineStr">
        <is>
          <t>Financing</t>
        </is>
      </c>
      <c r="B21" s="8" t="inlineStr">
        <is>
          <t>https://treetopgrowthstrategy.com/how-to-finance-a-gym</t>
        </is>
      </c>
    </row>
    <row r="22">
      <c r="A22" t="inlineStr">
        <is>
          <t>Lease negotiation</t>
        </is>
      </c>
      <c r="B22" s="8" t="inlineStr">
        <is>
          <t>https://treetopgrowthstrategy.com/gym-lease-negotiation-guide</t>
        </is>
      </c>
    </row>
    <row r="23">
      <c r="A23" t="inlineStr">
        <is>
          <t>Pre-sale playbook</t>
        </is>
      </c>
      <c r="B23" s="8" t="inlineStr">
        <is>
          <t>https://treetopgrowthstrategy.com/gym-pre-sale-playbook</t>
        </is>
      </c>
    </row>
  </sheetData>
  <mergeCells count="5">
    <mergeCell ref="A4:B4"/>
    <mergeCell ref="A2:B2"/>
    <mergeCell ref="A10:B10"/>
    <mergeCell ref="A1:B1"/>
    <mergeCell ref="A17:B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26" customWidth="1" min="1" max="1"/>
    <col width="36" customWidth="1" min="2" max="2"/>
    <col width="36" customWidth="1" min="3" max="3"/>
  </cols>
  <sheetData>
    <row r="1" ht="30" customHeight="1">
      <c r="A1" s="9" t="inlineStr">
        <is>
          <t>Format &amp; Scenario Inputs</t>
        </is>
      </c>
    </row>
    <row r="2">
      <c r="A2" s="2" t="inlineStr">
        <is>
          <t>Pick your gym format, location tier, and scenario. Every other sheet pulls from these inputs.</t>
        </is>
      </c>
    </row>
    <row r="4">
      <c r="A4" s="10" t="inlineStr">
        <is>
          <t>Gym format</t>
        </is>
      </c>
      <c r="B4" s="11" t="inlineStr">
        <is>
          <t>Small boutique studio</t>
        </is>
      </c>
    </row>
    <row r="5">
      <c r="A5" s="10" t="inlineStr">
        <is>
          <t>Location tier</t>
        </is>
      </c>
      <c r="B5" s="11" t="inlineStr">
        <is>
          <t>Tier 2 (mid metro)</t>
        </is>
      </c>
    </row>
    <row r="6">
      <c r="A6" s="10" t="inlineStr">
        <is>
          <t>Planning scenario</t>
        </is>
      </c>
      <c r="B6" s="11" t="inlineStr">
        <is>
          <t>Realistic</t>
        </is>
      </c>
    </row>
    <row r="9">
      <c r="A9" s="10" t="inlineStr">
        <is>
          <t>Tier multiplier (auto)</t>
        </is>
      </c>
      <c r="B9" s="12">
        <f>IF(B5="Tier 1 (NYC/SF/Boston/LA)",1.35,IF(B5="Tier 3 (suburban/rural)",0.80,1.00))</f>
        <v/>
      </c>
    </row>
    <row r="10">
      <c r="A10" t="inlineStr">
        <is>
          <t>Format base low (auto)</t>
        </is>
      </c>
      <c r="B10" s="13">
        <f>IF(B4="Personal training studio",45000,IF(B4="Small boutique studio",120000,IF(B4="CrossFit affiliate",80000,IF(B4="Mid-size group fitness",280000,IF(B4="Full-service gym",500000,IF(B4="Boutique franchise",250000,0))))))</f>
        <v/>
      </c>
    </row>
    <row r="11">
      <c r="A11" t="inlineStr">
        <is>
          <t>Format base high (auto)</t>
        </is>
      </c>
      <c r="B11" s="13">
        <f>IF(B4="Personal training studio",120000,IF(B4="Small boutique studio",280000,IF(B4="CrossFit affiliate",180000,IF(B4="Mid-size group fitness",550000,IF(B4="Full-service gym",1500000,IF(B4="Boutique franchise",600000,0))))))</f>
        <v/>
      </c>
    </row>
    <row r="12">
      <c r="A12" t="inlineStr">
        <is>
          <t>Tier-adjusted low</t>
        </is>
      </c>
      <c r="B12" s="14">
        <f>B10*B9</f>
        <v/>
      </c>
    </row>
    <row r="13">
      <c r="A13" t="inlineStr">
        <is>
          <t>Tier-adjusted high</t>
        </is>
      </c>
      <c r="B13" s="14">
        <f>B11*B9</f>
        <v/>
      </c>
    </row>
    <row r="15">
      <c r="A15" s="10" t="inlineStr">
        <is>
          <t>Scenario multiplier (applies to ramp &amp; working-capital assumptions)</t>
        </is>
      </c>
    </row>
    <row r="16">
      <c r="A16" t="inlineStr">
        <is>
          <t>Scenario multiplier</t>
        </is>
      </c>
      <c r="B16" s="12">
        <f>IF(B6="Aggressive",0.7,IF(B6="Conservative",1.3,IF(B6="Stressed",1.6,1.0)))</f>
        <v/>
      </c>
    </row>
    <row r="18">
      <c r="A18" t="inlineStr">
        <is>
          <t>Working capital months default</t>
        </is>
      </c>
      <c r="B18" s="15">
        <f>IF(B6="Aggressive",6,IF(B6="Realistic",9,IF(B6="Conservative",12,15)))</f>
        <v/>
      </c>
    </row>
    <row r="20">
      <c r="A20" s="3" t="inlineStr">
        <is>
          <t>Quick estimate (range, tier-adjusted, before working capital)</t>
        </is>
      </c>
    </row>
    <row r="21">
      <c r="A21" s="10" t="inlineStr">
        <is>
          <t>Estimated total range</t>
        </is>
      </c>
      <c r="B21" s="16">
        <f>B12</f>
        <v/>
      </c>
      <c r="C21" s="16">
        <f>B13</f>
        <v/>
      </c>
    </row>
    <row r="22">
      <c r="A22" s="17" t="inlineStr">
        <is>
          <t>Override with computed total from input sheets (see Sensitivity for full model)</t>
        </is>
      </c>
    </row>
  </sheetData>
  <mergeCells count="5">
    <mergeCell ref="A1:C1"/>
    <mergeCell ref="A22:C22"/>
    <mergeCell ref="A15:C15"/>
    <mergeCell ref="A20:C20"/>
    <mergeCell ref="A2:C2"/>
  </mergeCells>
  <dataValidations count="3">
    <dataValidation sqref="B4" showDropDown="0" showInputMessage="0" showErrorMessage="0" allowBlank="0" type="list">
      <formula1>"Personal training studio,Small boutique studio,CrossFit affiliate,Mid-size group fitness,Full-service gym,Boutique franchise"</formula1>
    </dataValidation>
    <dataValidation sqref="B5" showDropDown="0" showInputMessage="0" showErrorMessage="0" allowBlank="0" type="list">
      <formula1>"Tier 1 (NYC/SF/Boston/LA),Tier 2 (mid metro),Tier 3 (suburban/rural)"</formula1>
    </dataValidation>
    <dataValidation sqref="B6" showDropDown="0" showInputMessage="0" showErrorMessage="0" allowBlank="0" type="list">
      <formula1>"Aggressive,Realistic,Conservative,Stressed"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8" customWidth="1" min="1" max="1"/>
    <col width="18" customWidth="1" min="2" max="2"/>
    <col width="18" customWidth="1" min="3" max="3"/>
    <col width="40" customWidth="1" min="4" max="4"/>
  </cols>
  <sheetData>
    <row r="1" ht="30" customHeight="1">
      <c r="A1" s="9" t="inlineStr">
        <is>
          <t>Facility</t>
        </is>
      </c>
    </row>
    <row r="2">
      <c r="A2" s="2" t="inlineStr">
        <is>
          <t>Inputs in blue. Buildout net of TI calculated automatically.</t>
        </is>
      </c>
    </row>
    <row r="4">
      <c r="A4" s="3" t="inlineStr">
        <is>
          <t>Inputs</t>
        </is>
      </c>
    </row>
    <row r="5">
      <c r="A5" s="5" t="inlineStr">
        <is>
          <t>Square footage</t>
        </is>
      </c>
      <c r="B5" s="18" t="n">
        <v>3500</v>
      </c>
      <c r="D5" s="19" t="inlineStr">
        <is>
          <t>Total leased square footage</t>
        </is>
      </c>
    </row>
    <row r="6">
      <c r="A6" s="5" t="inlineStr">
        <is>
          <t>Base rent per sq ft (annual, NNN)</t>
        </is>
      </c>
      <c r="B6" s="20" t="n">
        <v>35</v>
      </c>
      <c r="D6" s="19" t="inlineStr">
        <is>
          <t>Tier 1 metros often $40-80; Tier 2 typically $25-45; Tier 3 $18-32</t>
        </is>
      </c>
    </row>
    <row r="7">
      <c r="A7" s="5" t="inlineStr">
        <is>
          <t>Buildout cost per sq ft (gross)</t>
        </is>
      </c>
      <c r="B7" s="20" t="n">
        <v>60</v>
      </c>
      <c r="D7" s="19" t="inlineStr">
        <is>
          <t>Second-gen retail typical $30-80/sqft</t>
        </is>
      </c>
    </row>
    <row r="8">
      <c r="A8" s="5" t="inlineStr">
        <is>
          <t>Landlord TI allowance per sq ft</t>
        </is>
      </c>
      <c r="B8" s="20" t="n">
        <v>30</v>
      </c>
      <c r="D8" s="19" t="inlineStr">
        <is>
          <t>Negotiate hard. Tier 2/3: $20-40; Tier 1: $40-80</t>
        </is>
      </c>
    </row>
    <row r="9">
      <c r="A9" s="5" t="inlineStr">
        <is>
          <t>Months security deposit</t>
        </is>
      </c>
      <c r="B9" s="18" t="n">
        <v>3</v>
      </c>
      <c r="D9" s="19" t="inlineStr">
        <is>
          <t>Often refundable end-of-lease</t>
        </is>
      </c>
    </row>
    <row r="11">
      <c r="A11" s="3" t="inlineStr">
        <is>
          <t>Line items (computed)</t>
        </is>
      </c>
    </row>
    <row r="12">
      <c r="A12" s="5" t="inlineStr">
        <is>
          <t>Security deposit</t>
        </is>
      </c>
      <c r="B12" s="21">
        <f>(B5*B6/12)*B9</f>
        <v/>
      </c>
    </row>
    <row r="13">
      <c r="A13" s="5" t="inlineStr">
        <is>
          <t>First month rent</t>
        </is>
      </c>
      <c r="B13" s="21">
        <f>B5*B6/12</f>
        <v/>
      </c>
    </row>
    <row r="14">
      <c r="A14" s="5" t="inlineStr">
        <is>
          <t>Buildout (net of landlord TI)</t>
        </is>
      </c>
      <c r="B14" s="21">
        <f>B5*MAX(B7-B8,0)</f>
        <v/>
      </c>
    </row>
    <row r="15">
      <c r="A15" s="5" t="inlineStr">
        <is>
          <t>HVAC additions/upgrades</t>
        </is>
      </c>
      <c r="B15" s="21">
        <f>B5*8</f>
        <v/>
      </c>
    </row>
    <row r="16">
      <c r="A16" s="5" t="inlineStr">
        <is>
          <t>Flooring (rubber, turf, hardwood)</t>
        </is>
      </c>
      <c r="B16" s="21">
        <f>B5*4</f>
        <v/>
      </c>
    </row>
    <row r="17">
      <c r="A17" s="5" t="inlineStr">
        <is>
          <t>Electrical (cardio + sound + lighting)</t>
        </is>
      </c>
      <c r="B17" s="21">
        <f>B5*3</f>
        <v/>
      </c>
    </row>
    <row r="18">
      <c r="A18" s="5" t="inlineStr">
        <is>
          <t>Plumbing (locker rooms, water stations)</t>
        </is>
      </c>
      <c r="B18" s="21">
        <f>B5*3.5</f>
        <v/>
      </c>
    </row>
    <row r="19">
      <c r="A19" s="5" t="inlineStr">
        <is>
          <t>Lighting design + install</t>
        </is>
      </c>
      <c r="B19" s="21">
        <f>B5*2.5</f>
        <v/>
      </c>
    </row>
    <row r="20">
      <c r="A20" s="5" t="inlineStr">
        <is>
          <t>Signage (exterior + interior)</t>
        </is>
      </c>
      <c r="B20" s="21">
        <f>5000+(B5/1000)*1500</f>
        <v/>
      </c>
    </row>
    <row r="21">
      <c r="A21" s="5" t="inlineStr">
        <is>
          <t>Architect / designer fees</t>
        </is>
      </c>
      <c r="B21" s="21">
        <f>B5*4</f>
        <v/>
      </c>
    </row>
    <row r="22">
      <c r="A22" s="22" t="inlineStr">
        <is>
          <t>Facility total</t>
        </is>
      </c>
      <c r="B22" s="23">
        <f>SUM(B12:B21)</f>
        <v/>
      </c>
    </row>
    <row r="24">
      <c r="A24" s="19" t="inlineStr">
        <is>
          <t>Note: Facility commonly runs 30–50% of total startup cost. Highest-variance category. The TI negotiation alone is often worth $40K–$150K of effectively-free capital — see /gym-lease-negotiation-guide.</t>
        </is>
      </c>
    </row>
  </sheetData>
  <mergeCells count="5">
    <mergeCell ref="A1:D1"/>
    <mergeCell ref="A4:D4"/>
    <mergeCell ref="A24:D24"/>
    <mergeCell ref="A2:D2"/>
    <mergeCell ref="A11:D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8" customWidth="1" min="1" max="1"/>
    <col width="18" customWidth="1" min="2" max="2"/>
    <col width="18" customWidth="1" min="3" max="3"/>
    <col width="18" customWidth="1" min="4" max="4"/>
    <col width="22" customWidth="1" min="5" max="5"/>
    <col hidden="1" width="13" customWidth="1" min="7" max="7"/>
    <col hidden="1" width="13" customWidth="1" min="8" max="8"/>
    <col hidden="1" width="13" customWidth="1" min="9" max="9"/>
  </cols>
  <sheetData>
    <row r="1" ht="30" customHeight="1">
      <c r="A1" s="9" t="inlineStr">
        <is>
          <t>Equipment</t>
        </is>
      </c>
    </row>
    <row r="2">
      <c r="A2" s="2" t="inlineStr">
        <is>
          <t>Pick approach per category from dropdown. Workbook computes immediate cash outlay + 60-month lease obligation.</t>
        </is>
      </c>
    </row>
    <row r="4">
      <c r="A4" s="24" t="inlineStr">
        <is>
          <t>Category</t>
        </is>
      </c>
      <c r="B4" s="24" t="inlineStr">
        <is>
          <t>Approach</t>
        </is>
      </c>
      <c r="C4" s="24" t="inlineStr">
        <is>
          <t>Cash now</t>
        </is>
      </c>
      <c r="D4" s="24" t="inlineStr">
        <is>
          <t>Monthly (if lease)</t>
        </is>
      </c>
      <c r="E4" s="24" t="inlineStr">
        <is>
          <t>60-mo obligation</t>
        </is>
      </c>
    </row>
    <row r="5">
      <c r="A5" s="7" t="inlineStr">
        <is>
          <t>Cardio (treadmills, ellipticals, bikes, rowers)</t>
        </is>
      </c>
      <c r="B5" s="11" t="inlineStr">
        <is>
          <t>Lease 60mo</t>
        </is>
      </c>
      <c r="C5" s="13">
        <f>IF(B5="Buy new",G5,IF(B5="Buy used",H5,0))</f>
        <v/>
      </c>
      <c r="D5" s="13">
        <f>IF(B5="Lease 60mo",I5,0)</f>
        <v/>
      </c>
      <c r="E5" s="13">
        <f>D5*60</f>
        <v/>
      </c>
      <c r="G5" s="13" t="n">
        <v>42000</v>
      </c>
      <c r="H5" s="13" t="n">
        <v>0</v>
      </c>
      <c r="I5" s="13" t="n">
        <v>870</v>
      </c>
    </row>
    <row r="6">
      <c r="A6" s="7" t="inlineStr">
        <is>
          <t>Power racks / squat racks / rigs</t>
        </is>
      </c>
      <c r="B6" s="11" t="inlineStr">
        <is>
          <t>Buy used</t>
        </is>
      </c>
      <c r="C6" s="13">
        <f>IF(B6="Buy new",G6,IF(B6="Buy used",H6,0))</f>
        <v/>
      </c>
      <c r="D6" s="13">
        <f>IF(B6="Lease 60mo",I6,0)</f>
        <v/>
      </c>
      <c r="E6" s="13">
        <f>D6*60</f>
        <v/>
      </c>
      <c r="G6" s="13" t="n">
        <v>12000</v>
      </c>
      <c r="H6" s="13" t="n">
        <v>6000</v>
      </c>
      <c r="I6" s="13" t="n">
        <v>0</v>
      </c>
    </row>
    <row r="7">
      <c r="A7" s="7" t="inlineStr">
        <is>
          <t>Plates / dumbbells / kettlebells / barbells</t>
        </is>
      </c>
      <c r="B7" s="11" t="inlineStr">
        <is>
          <t>Buy used</t>
        </is>
      </c>
      <c r="C7" s="13">
        <f>IF(B7="Buy new",G7,IF(B7="Buy used",H7,0))</f>
        <v/>
      </c>
      <c r="D7" s="13">
        <f>IF(B7="Lease 60mo",I7,0)</f>
        <v/>
      </c>
      <c r="E7" s="13">
        <f>D7*60</f>
        <v/>
      </c>
      <c r="G7" s="13" t="n">
        <v>11000</v>
      </c>
      <c r="H7" s="13" t="n">
        <v>5500</v>
      </c>
      <c r="I7" s="13" t="n">
        <v>0</v>
      </c>
    </row>
    <row r="8">
      <c r="A8" s="7" t="inlineStr">
        <is>
          <t>Selectorized machines</t>
        </is>
      </c>
      <c r="B8" s="11" t="inlineStr">
        <is>
          <t>Buy used</t>
        </is>
      </c>
      <c r="C8" s="13">
        <f>IF(B8="Buy new",G8,IF(B8="Buy used",H8,0))</f>
        <v/>
      </c>
      <c r="D8" s="13">
        <f>IF(B8="Lease 60mo",I8,0)</f>
        <v/>
      </c>
      <c r="E8" s="13">
        <f>D8*60</f>
        <v/>
      </c>
      <c r="G8" s="13" t="n">
        <v>22000</v>
      </c>
      <c r="H8" s="13" t="n">
        <v>8000</v>
      </c>
      <c r="I8" s="13" t="n">
        <v>0</v>
      </c>
    </row>
    <row r="9">
      <c r="A9" s="7" t="inlineStr">
        <is>
          <t>Functional (turf, sleds, mobility)</t>
        </is>
      </c>
      <c r="B9" s="11" t="inlineStr">
        <is>
          <t>Buy new</t>
        </is>
      </c>
      <c r="C9" s="13">
        <f>IF(B9="Buy new",G9,IF(B9="Buy used",H9,0))</f>
        <v/>
      </c>
      <c r="D9" s="13">
        <f>IF(B9="Lease 60mo",I9,0)</f>
        <v/>
      </c>
      <c r="E9" s="13">
        <f>D9*60</f>
        <v/>
      </c>
      <c r="G9" s="13" t="n">
        <v>7000</v>
      </c>
      <c r="H9" s="13" t="n">
        <v>0</v>
      </c>
      <c r="I9" s="13" t="n">
        <v>0</v>
      </c>
    </row>
    <row r="10">
      <c r="A10" s="7" t="inlineStr">
        <is>
          <t>Audio/visual + sound system</t>
        </is>
      </c>
      <c r="B10" s="11" t="inlineStr">
        <is>
          <t>Buy new</t>
        </is>
      </c>
      <c r="C10" s="13">
        <f>IF(B10="Buy new",G10,IF(B10="Buy used",H10,0))</f>
        <v/>
      </c>
      <c r="D10" s="13">
        <f>IF(B10="Lease 60mo",I10,0)</f>
        <v/>
      </c>
      <c r="E10" s="13">
        <f>D10*60</f>
        <v/>
      </c>
      <c r="G10" s="13" t="n">
        <v>5500</v>
      </c>
      <c r="H10" s="13" t="n">
        <v>0</v>
      </c>
      <c r="I10" s="13" t="n">
        <v>0</v>
      </c>
    </row>
    <row r="11">
      <c r="A11" s="7" t="inlineStr">
        <is>
          <t>Locker room fixtures + mirrors</t>
        </is>
      </c>
      <c r="B11" s="11" t="inlineStr">
        <is>
          <t>Buy new</t>
        </is>
      </c>
      <c r="C11" s="13">
        <f>IF(B11="Buy new",G11,IF(B11="Buy used",H11,0))</f>
        <v/>
      </c>
      <c r="D11" s="13">
        <f>IF(B11="Lease 60mo",I11,0)</f>
        <v/>
      </c>
      <c r="E11" s="13">
        <f>D11*60</f>
        <v/>
      </c>
      <c r="G11" s="13" t="n">
        <v>8500</v>
      </c>
      <c r="H11" s="13" t="n">
        <v>0</v>
      </c>
      <c r="I11" s="13" t="n">
        <v>0</v>
      </c>
    </row>
    <row r="13">
      <c r="A13" s="22" t="inlineStr">
        <is>
          <t>Equipment cash outlay</t>
        </is>
      </c>
      <c r="C13" s="23">
        <f>SUM(C5:C11)</f>
        <v/>
      </c>
    </row>
    <row r="14">
      <c r="A14" s="10" t="inlineStr">
        <is>
          <t>60-month lease obligation (total)</t>
        </is>
      </c>
      <c r="E14" s="25">
        <f>SUM(E5:E11)</f>
        <v/>
      </c>
    </row>
    <row r="16">
      <c r="A16" s="17" t="inlineStr">
        <is>
          <t>Default cost ranges reflect 2026 commercial-grade pricing. Override defaults in columns G-I (hidden) if needed — unhide via Format menu.</t>
        </is>
      </c>
    </row>
  </sheetData>
  <mergeCells count="3">
    <mergeCell ref="A2:E2"/>
    <mergeCell ref="A16:E16"/>
    <mergeCell ref="A1:E1"/>
  </mergeCells>
  <dataValidations count="1">
    <dataValidation sqref="B5 B6 B7 B8 B9 B10 B11" showDropDown="0" showInputMessage="0" showErrorMessage="0" allowBlank="0" type="list">
      <formula1>"Buy new,Buy used,Lease 60mo"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8" customWidth="1" min="1" max="1"/>
    <col width="18" customWidth="1" min="2" max="2"/>
    <col width="40" customWidth="1" min="3" max="3"/>
  </cols>
  <sheetData>
    <row r="1" ht="30" customHeight="1">
      <c r="A1" s="9" t="inlineStr">
        <is>
          <t>Licensing, Permits &amp; Insurance — Year 1</t>
        </is>
      </c>
    </row>
    <row r="2">
      <c r="A2" s="2" t="inlineStr">
        <is>
          <t>Override defaults in blue. Most line items are jurisdiction-dependent.</t>
        </is>
      </c>
    </row>
    <row r="4">
      <c r="A4" s="24" t="inlineStr">
        <is>
          <t>Line item</t>
        </is>
      </c>
      <c r="B4" s="24" t="inlineStr">
        <is>
          <t>Year-1 cost</t>
        </is>
      </c>
      <c r="C4" s="24" t="inlineStr">
        <is>
          <t>Notes</t>
        </is>
      </c>
    </row>
    <row r="5">
      <c r="A5" s="7" t="inlineStr">
        <is>
          <t>LLC / S-Corp formation</t>
        </is>
      </c>
      <c r="B5" s="20" t="n">
        <v>1200</v>
      </c>
      <c r="C5" s="19" t="inlineStr">
        <is>
          <t>Filing fees + legal review</t>
        </is>
      </c>
    </row>
    <row r="6">
      <c r="A6" s="7" t="inlineStr">
        <is>
          <t>Local business license</t>
        </is>
      </c>
      <c r="B6" s="20" t="n">
        <v>800</v>
      </c>
      <c r="C6" s="19" t="inlineStr">
        <is>
          <t>Varies by jurisdiction</t>
        </is>
      </c>
    </row>
    <row r="7">
      <c r="A7" s="7" t="inlineStr">
        <is>
          <t>Building permits</t>
        </is>
      </c>
      <c r="B7" s="20" t="n">
        <v>6000</v>
      </c>
      <c r="C7" s="19" t="inlineStr">
        <is>
          <t>Depends on buildout scope</t>
        </is>
      </c>
    </row>
    <row r="8">
      <c r="A8" s="7" t="inlineStr">
        <is>
          <t>Health &amp; safety permits</t>
        </is>
      </c>
      <c r="B8" s="20" t="n">
        <v>1500</v>
      </c>
      <c r="C8" s="19" t="inlineStr"/>
    </row>
    <row r="9">
      <c r="A9" s="7" t="inlineStr">
        <is>
          <t>General liability insurance</t>
        </is>
      </c>
      <c r="B9" s="20" t="n">
        <v>5000</v>
      </c>
      <c r="C9" s="19" t="inlineStr">
        <is>
          <t>Required before opening</t>
        </is>
      </c>
    </row>
    <row r="10">
      <c r="A10" s="7" t="inlineStr">
        <is>
          <t>Workers comp insurance</t>
        </is>
      </c>
      <c r="B10" s="20" t="n">
        <v>5000</v>
      </c>
      <c r="C10" s="19" t="inlineStr">
        <is>
          <t>Scales with staff count</t>
        </is>
      </c>
    </row>
    <row r="11">
      <c r="A11" s="7" t="inlineStr">
        <is>
          <t>Property insurance</t>
        </is>
      </c>
      <c r="B11" s="20" t="n">
        <v>2500</v>
      </c>
      <c r="C11" s="19" t="inlineStr"/>
    </row>
    <row r="12">
      <c r="A12" s="7" t="inlineStr">
        <is>
          <t>Music licensing (ASCAP/BMI/SESAC)</t>
        </is>
      </c>
      <c r="B12" s="20" t="n">
        <v>2500</v>
      </c>
      <c r="C12" s="19" t="inlineStr">
        <is>
          <t>Annual; required for any music played</t>
        </is>
      </c>
    </row>
    <row r="13">
      <c r="A13" s="7" t="inlineStr">
        <is>
          <t>Trademark / brand legal</t>
        </is>
      </c>
      <c r="B13" s="20" t="n">
        <v>2500</v>
      </c>
      <c r="C13" s="19" t="inlineStr">
        <is>
          <t>Optional but recommended</t>
        </is>
      </c>
    </row>
    <row r="15">
      <c r="A15" s="22" t="inlineStr">
        <is>
          <t>Licensing &amp; insurance total</t>
        </is>
      </c>
      <c r="B15" s="23">
        <f>SUM(B5:B13)</f>
        <v/>
      </c>
    </row>
  </sheetData>
  <mergeCells count="2">
    <mergeCell ref="A1:C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40" customWidth="1" min="1" max="1"/>
    <col width="20" customWidth="1" min="2" max="2"/>
    <col width="20" customWidth="1" min="3" max="3"/>
    <col width="40" customWidth="1" min="4" max="4"/>
  </cols>
  <sheetData>
    <row r="1" ht="30" customHeight="1">
      <c r="A1" s="9" t="inlineStr">
        <is>
          <t>Software &amp; Tech Stack — Total Cost of Ownership</t>
        </is>
      </c>
    </row>
    <row r="2">
      <c r="A2" s="2" t="inlineStr">
        <is>
          <t>Side-by-side comparison: Legacy 2020 stack vs AI-native 2026 stack. Labor offset is where the real money is.</t>
        </is>
      </c>
    </row>
    <row r="4">
      <c r="A4" s="24" t="inlineStr">
        <is>
          <t>Line item</t>
        </is>
      </c>
      <c r="B4" s="24" t="inlineStr">
        <is>
          <t>Legacy stack</t>
        </is>
      </c>
      <c r="C4" s="24" t="inlineStr">
        <is>
          <t>AI-native stack</t>
        </is>
      </c>
      <c r="D4" s="24" t="inlineStr">
        <is>
          <t>Notes</t>
        </is>
      </c>
    </row>
    <row r="5">
      <c r="A5" s="7" t="inlineStr">
        <is>
          <t>Gym CRM (MindBody/Glofox/Zen Planner)</t>
        </is>
      </c>
      <c r="B5" s="20" t="n">
        <v>5000</v>
      </c>
      <c r="C5" s="20" t="n">
        <v>3500</v>
      </c>
      <c r="D5" s="17" t="inlineStr">
        <is>
          <t>System of record either way</t>
        </is>
      </c>
    </row>
    <row r="6">
      <c r="A6" s="7" t="inlineStr">
        <is>
          <t>AI agent platform (e.g., fitagentic.ai)</t>
        </is>
      </c>
      <c r="B6" s="20" t="n">
        <v>0</v>
      </c>
      <c r="C6" s="20" t="n">
        <v>7500</v>
      </c>
      <c r="D6" s="17" t="inlineStr">
        <is>
          <t>AI-native only</t>
        </is>
      </c>
    </row>
    <row r="7">
      <c r="A7" s="7" t="inlineStr">
        <is>
          <t>Email marketing (Mailchimp/Klaviyo)</t>
        </is>
      </c>
      <c r="B7" s="20" t="n">
        <v>2500</v>
      </c>
      <c r="C7" s="20" t="n">
        <v>0</v>
      </c>
      <c r="D7" s="17" t="inlineStr">
        <is>
          <t>Legacy only — replaced by AI platform</t>
        </is>
      </c>
    </row>
    <row r="8">
      <c r="A8" s="7" t="inlineStr">
        <is>
          <t>SMS broadcast (Klaviyo SMS/Attentive)</t>
        </is>
      </c>
      <c r="B8" s="20" t="n">
        <v>4000</v>
      </c>
      <c r="C8" s="20" t="n">
        <v>0</v>
      </c>
      <c r="D8" s="17" t="inlineStr">
        <is>
          <t>Legacy only — replaced by AI platform</t>
        </is>
      </c>
    </row>
    <row r="9">
      <c r="A9" s="7" t="inlineStr">
        <is>
          <t>Analytics + reporting add-ons</t>
        </is>
      </c>
      <c r="B9" s="20" t="n">
        <v>2000</v>
      </c>
      <c r="C9" s="20" t="n">
        <v>0</v>
      </c>
      <c r="D9" s="17" t="inlineStr">
        <is>
          <t>Legacy only — built into AI platform</t>
        </is>
      </c>
    </row>
    <row r="10">
      <c r="A10" s="7" t="inlineStr">
        <is>
          <t>Member-facing app</t>
        </is>
      </c>
      <c r="B10" s="20" t="n">
        <v>1500</v>
      </c>
      <c r="C10" s="20" t="n">
        <v>0</v>
      </c>
      <c r="D10" s="17" t="inlineStr">
        <is>
          <t>Usually included with AI platform</t>
        </is>
      </c>
    </row>
    <row r="11">
      <c r="A11" s="10" t="inlineStr">
        <is>
          <t>Software subtotal</t>
        </is>
      </c>
      <c r="B11" s="25">
        <f>SUM(B5:B10)</f>
        <v/>
      </c>
      <c r="C11" s="25">
        <f>SUM(C5:C10)</f>
        <v/>
      </c>
    </row>
    <row r="13">
      <c r="A13" s="10" t="inlineStr">
        <is>
          <t>Required FTE for admin/lead-handling</t>
        </is>
      </c>
      <c r="D13" s="17" t="inlineStr">
        <is>
          <t>Front desk + membership consultant work</t>
        </is>
      </c>
    </row>
    <row r="14">
      <c r="A14" t="inlineStr">
        <is>
          <t>FTE count</t>
        </is>
      </c>
      <c r="B14" s="11" t="n">
        <v>2</v>
      </c>
      <c r="C14" s="11" t="n">
        <v>0.5</v>
      </c>
    </row>
    <row r="15">
      <c r="A15" t="inlineStr">
        <is>
          <t>Fully-loaded cost per FTE (annual)</t>
        </is>
      </c>
      <c r="B15" s="20" t="n">
        <v>45000</v>
      </c>
      <c r="C15" s="20" t="n">
        <v>45000</v>
      </c>
    </row>
    <row r="16">
      <c r="A16" s="6" t="inlineStr">
        <is>
          <t>Annual labor cost</t>
        </is>
      </c>
      <c r="B16" s="14">
        <f>B14*B15</f>
        <v/>
      </c>
      <c r="C16" s="14">
        <f>C14*C15</f>
        <v/>
      </c>
    </row>
    <row r="18">
      <c r="A18" s="3" t="inlineStr">
        <is>
          <t>Total Year-1 burden (software + labor)</t>
        </is>
      </c>
      <c r="B18" s="26">
        <f>B11+B16</f>
        <v/>
      </c>
      <c r="C18" s="26">
        <f>C11+C16</f>
        <v/>
      </c>
    </row>
    <row r="20">
      <c r="A20" s="3" t="inlineStr">
        <is>
          <t>Year-1 savings going AI-native</t>
        </is>
      </c>
      <c r="B20" s="27">
        <f>B18-C18</f>
        <v/>
      </c>
    </row>
    <row r="21">
      <c r="A21" s="17" t="inlineStr">
        <is>
          <t>See /how-to-replace-your-gym-front-desk-with-ai-agents for the migration playbook.</t>
        </is>
      </c>
    </row>
  </sheetData>
  <mergeCells count="3">
    <mergeCell ref="A1:D1"/>
    <mergeCell ref="A21:D2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6" customWidth="1" min="1" max="1"/>
    <col width="14" customWidth="1" min="2" max="2"/>
    <col width="18" customWidth="1" min="3" max="3"/>
    <col width="18" customWidth="1" min="4" max="4"/>
    <col width="18" customWidth="1" min="5" max="5"/>
  </cols>
  <sheetData>
    <row r="1" ht="30" customHeight="1">
      <c r="A1" s="9" t="inlineStr">
        <is>
          <t>Staff — Year 1 (excluding admin roles displaced by AI agents)</t>
        </is>
      </c>
    </row>
    <row r="2">
      <c r="A2" s="2" t="inlineStr">
        <is>
          <t>Override FTE counts and base comp to match your plan. Fully-loaded multiplier defaults to 1.27 (payroll taxes, benefits, workers comp).</t>
        </is>
      </c>
    </row>
    <row r="4">
      <c r="A4" s="24" t="inlineStr">
        <is>
          <t>Role</t>
        </is>
      </c>
      <c r="B4" s="24" t="inlineStr">
        <is>
          <t>FTE count</t>
        </is>
      </c>
      <c r="C4" s="24" t="inlineStr">
        <is>
          <t>Annual base comp</t>
        </is>
      </c>
      <c r="D4" s="24" t="inlineStr">
        <is>
          <t>Fully-loaded multiplier</t>
        </is>
      </c>
      <c r="E4" s="24" t="inlineStr">
        <is>
          <t>Year-1 total cost</t>
        </is>
      </c>
    </row>
    <row r="5">
      <c r="A5" s="7" t="inlineStr">
        <is>
          <t>Owner-operator</t>
        </is>
      </c>
      <c r="B5" s="28" t="n">
        <v>1</v>
      </c>
      <c r="C5" s="20" t="n">
        <v>80000</v>
      </c>
      <c r="D5" s="29" t="n">
        <v>1.1</v>
      </c>
      <c r="E5" s="21">
        <f>B5*C5*D5</f>
        <v/>
      </c>
    </row>
    <row r="6">
      <c r="A6" s="7" t="inlineStr">
        <is>
          <t>Studio coordinator / front desk (coverage)</t>
        </is>
      </c>
      <c r="B6" s="28" t="n">
        <v>0.5</v>
      </c>
      <c r="C6" s="20" t="n">
        <v>38000</v>
      </c>
      <c r="D6" s="29" t="n">
        <v>1.27</v>
      </c>
      <c r="E6" s="21">
        <f>B6*C6*D6</f>
        <v/>
      </c>
    </row>
    <row r="7">
      <c r="A7" s="7" t="inlineStr">
        <is>
          <t>Group fitness instructor</t>
        </is>
      </c>
      <c r="B7" s="28" t="n">
        <v>2</v>
      </c>
      <c r="C7" s="20" t="n">
        <v>28000</v>
      </c>
      <c r="D7" s="29" t="n">
        <v>1.2</v>
      </c>
      <c r="E7" s="21">
        <f>B7*C7*D7</f>
        <v/>
      </c>
    </row>
    <row r="8">
      <c r="A8" s="7" t="inlineStr">
        <is>
          <t>Personal trainer (employee)</t>
        </is>
      </c>
      <c r="B8" s="28" t="n">
        <v>1</v>
      </c>
      <c r="C8" s="20" t="n">
        <v>50000</v>
      </c>
      <c r="D8" s="29" t="n">
        <v>1.27</v>
      </c>
      <c r="E8" s="21">
        <f>B8*C8*D8</f>
        <v/>
      </c>
    </row>
    <row r="9">
      <c r="A9" s="7" t="inlineStr">
        <is>
          <t>CrossFit coach</t>
        </is>
      </c>
      <c r="B9" s="28" t="n">
        <v>0</v>
      </c>
      <c r="C9" s="20" t="n">
        <v>35000</v>
      </c>
      <c r="D9" s="29" t="n">
        <v>1.2</v>
      </c>
      <c r="E9" s="21">
        <f>B9*C9*D9</f>
        <v/>
      </c>
    </row>
    <row r="10">
      <c r="A10" s="7" t="inlineStr">
        <is>
          <t>Studio manager</t>
        </is>
      </c>
      <c r="B10" s="28" t="n">
        <v>0</v>
      </c>
      <c r="C10" s="20" t="n">
        <v>60000</v>
      </c>
      <c r="D10" s="29" t="n">
        <v>1.27</v>
      </c>
      <c r="E10" s="21">
        <f>B10*C10*D10</f>
        <v/>
      </c>
    </row>
    <row r="11">
      <c r="A11" s="7" t="inlineStr">
        <is>
          <t>GM</t>
        </is>
      </c>
      <c r="B11" s="28" t="n">
        <v>0</v>
      </c>
      <c r="C11" s="20" t="n">
        <v>75000</v>
      </c>
      <c r="D11" s="29" t="n">
        <v>1.3</v>
      </c>
      <c r="E11" s="21">
        <f>B11*C11*D11</f>
        <v/>
      </c>
    </row>
    <row r="13">
      <c r="A13" s="22" t="inlineStr">
        <is>
          <t>Staff Year-1 total</t>
        </is>
      </c>
      <c r="E13" s="23">
        <f>SUM(E5:E11)</f>
        <v/>
      </c>
    </row>
    <row r="15">
      <c r="A15" s="17" t="inlineStr">
        <is>
          <t>AI-native lean staffing assumes admin/lead-handling absorbed by AI agents (see Software sheet for the labor offset). See /how-to-hire-gym-staff for full role-design framework.</t>
        </is>
      </c>
    </row>
  </sheetData>
  <mergeCells count="3">
    <mergeCell ref="A2:E2"/>
    <mergeCell ref="A15:E15"/>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40" customWidth="1" min="1" max="1"/>
    <col width="18" customWidth="1" min="2" max="2"/>
    <col width="40" customWidth="1" min="3" max="3"/>
  </cols>
  <sheetData>
    <row r="1" ht="30" customHeight="1">
      <c r="A1" s="9" t="inlineStr">
        <is>
          <t>Marketing &amp; Launch — Pre-Open + Year 1</t>
        </is>
      </c>
    </row>
    <row r="2">
      <c r="A2" s="2" t="inlineStr">
        <is>
          <t>Includes pre-sale campaign + Year-1 ongoing marketing. Override defaults to match your plan.</t>
        </is>
      </c>
    </row>
    <row r="4">
      <c r="A4" s="24" t="inlineStr">
        <is>
          <t>Line item</t>
        </is>
      </c>
      <c r="B4" s="24" t="inlineStr">
        <is>
          <t>Cost</t>
        </is>
      </c>
      <c r="C4" s="24" t="inlineStr">
        <is>
          <t>Notes</t>
        </is>
      </c>
    </row>
    <row r="5">
      <c r="A5" s="7" t="inlineStr">
        <is>
          <t>Brand identity (logo, type, color)</t>
        </is>
      </c>
      <c r="B5" s="20" t="n">
        <v>5000</v>
      </c>
      <c r="C5" s="17" t="inlineStr">
        <is>
          <t>One-time</t>
        </is>
      </c>
    </row>
    <row r="6">
      <c r="A6" s="7" t="inlineStr">
        <is>
          <t>Website + landing page build</t>
        </is>
      </c>
      <c r="B6" s="20" t="n">
        <v>7500</v>
      </c>
      <c r="C6" s="17" t="inlineStr">
        <is>
          <t>One-time; refresh every 2-3 yr</t>
        </is>
      </c>
    </row>
    <row r="7">
      <c r="A7" s="7" t="inlineStr">
        <is>
          <t>Photography (interior, member, branded)</t>
        </is>
      </c>
      <c r="B7" s="20" t="n">
        <v>3500</v>
      </c>
      <c r="C7" s="17" t="inlineStr">
        <is>
          <t>Refresh annually</t>
        </is>
      </c>
    </row>
    <row r="8">
      <c r="A8" s="7" t="inlineStr">
        <is>
          <t>Pre-sale Meta ads (90 days)</t>
        </is>
      </c>
      <c r="B8" s="20" t="n">
        <v>6500</v>
      </c>
      <c r="C8" s="17" t="inlineStr">
        <is>
          <t>$60-80/day × 90 days</t>
        </is>
      </c>
    </row>
    <row r="9">
      <c r="A9" s="7" t="inlineStr">
        <is>
          <t>Google Local Service Ads + Search</t>
        </is>
      </c>
      <c r="B9" s="20" t="n">
        <v>4000</v>
      </c>
      <c r="C9" s="17" t="inlineStr">
        <is>
          <t>Defensive coverage</t>
        </is>
      </c>
    </row>
    <row r="10">
      <c r="A10" s="7" t="inlineStr">
        <is>
          <t>Construction signage</t>
        </is>
      </c>
      <c r="B10" s="20" t="n">
        <v>2000</v>
      </c>
      <c r="C10" s="17" t="inlineStr">
        <is>
          <t>Best hyperlocal ad you will ever buy</t>
        </is>
      </c>
    </row>
    <row r="11">
      <c r="A11" s="7" t="inlineStr">
        <is>
          <t>Opening event (food, music, branded swag)</t>
        </is>
      </c>
      <c r="B11" s="20" t="n">
        <v>4500</v>
      </c>
      <c r="C11" s="17" t="inlineStr"/>
    </row>
    <row r="12">
      <c r="A12" s="7" t="inlineStr">
        <is>
          <t>Year-1 ongoing marketing budget</t>
        </is>
      </c>
      <c r="B12" s="20" t="n">
        <v>22000</v>
      </c>
      <c r="C12" s="17" t="inlineStr">
        <is>
          <t>4-8% of revenue at maturity</t>
        </is>
      </c>
    </row>
    <row r="14">
      <c r="A14" s="22" t="inlineStr">
        <is>
          <t>Marketing Year-1 total</t>
        </is>
      </c>
      <c r="B14" s="23">
        <f>SUM(B5:B12)</f>
        <v/>
      </c>
    </row>
  </sheetData>
  <mergeCells count="2">
    <mergeCell ref="A1:C1"/>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22" customWidth="1" min="2" max="2"/>
    <col width="36" customWidth="1" min="3" max="3"/>
  </cols>
  <sheetData>
    <row r="1" ht="30" customHeight="1">
      <c r="A1" s="9" t="inlineStr">
        <is>
          <t>Working Capital</t>
        </is>
      </c>
    </row>
    <row r="2">
      <c r="A2" s="2" t="inlineStr">
        <is>
          <t>The single biggest cause of new-gym failure: running out of cash in months 4–9 before membership ramps. Plan conservatively.</t>
        </is>
      </c>
    </row>
    <row r="4">
      <c r="A4" s="3" t="inlineStr">
        <is>
          <t>Inputs</t>
        </is>
      </c>
    </row>
    <row r="5">
      <c r="A5" t="inlineStr">
        <is>
          <t>Months of operating reserve to fund</t>
        </is>
      </c>
      <c r="B5" s="18">
        <f>'Format &amp; Scenario'!B18</f>
        <v/>
      </c>
      <c r="C5" s="17" t="inlineStr">
        <is>
          <t>Default pulled from scenario selection</t>
        </is>
      </c>
    </row>
    <row r="6">
      <c r="A6" t="inlineStr">
        <is>
          <t>Estimated monthly operating cost</t>
        </is>
      </c>
      <c r="B6" s="14">
        <f>(Staff!E13/12)+(Facility!B5*Facility!B6/12)+('Software &amp; Tech Stack'!C11/12)+('Marketing &amp; Launch'!B14/12)</f>
        <v/>
      </c>
      <c r="C6" s="17" t="inlineStr">
        <is>
          <t>Auto-computed: staff + rent + software + marketing</t>
        </is>
      </c>
    </row>
    <row r="8">
      <c r="A8" s="3" t="inlineStr">
        <is>
          <t>Working capital reserve required</t>
        </is>
      </c>
    </row>
    <row r="9">
      <c r="A9" s="30" t="inlineStr">
        <is>
          <t>Reserve total</t>
        </is>
      </c>
      <c r="B9" s="27">
        <f>B5*B6</f>
        <v/>
      </c>
    </row>
    <row r="11">
      <c r="A11" s="17" t="inlineStr">
        <is>
          <t>If your model shows breakeven at month 8, fund the cash reserve for breakeven at month 14. Add 50–70% buffer to every revenue assumption.</t>
        </is>
      </c>
    </row>
  </sheetData>
  <mergeCells count="3">
    <mergeCell ref="A1:C1"/>
    <mergeCell ref="A11:C11"/>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40" customWidth="1" min="1" max="1"/>
    <col width="22" customWidth="1" min="2" max="2"/>
    <col width="50" customWidth="1" min="3" max="3"/>
  </cols>
  <sheetData>
    <row r="1" ht="30" customHeight="1">
      <c r="A1" s="9" t="inlineStr">
        <is>
          <t>Capital Stack Builder</t>
        </is>
      </c>
    </row>
    <row r="2">
      <c r="A2" s="2" t="inlineStr">
        <is>
          <t>Input how much each source contributes. Workbook tells you whether you have enough capital to cover total need.</t>
        </is>
      </c>
    </row>
    <row r="4">
      <c r="A4" s="24" t="inlineStr">
        <is>
          <t>Source</t>
        </is>
      </c>
      <c r="B4" s="24" t="inlineStr">
        <is>
          <t>Amount</t>
        </is>
      </c>
      <c r="C4" s="24" t="inlineStr">
        <is>
          <t>Notes</t>
        </is>
      </c>
    </row>
    <row r="5">
      <c r="A5" s="7" t="inlineStr">
        <is>
          <t>SBA 7(a) loan — primary</t>
        </is>
      </c>
      <c r="B5" s="20" t="n">
        <v>140000</v>
      </c>
      <c r="C5" s="17" t="inlineStr">
        <is>
          <t>Up to $5M; 10-25 yr terms; ~10-30% down</t>
        </is>
      </c>
    </row>
    <row r="6">
      <c r="A6" s="7" t="inlineStr">
        <is>
          <t>SBA 504 loan (if buying real estate)</t>
        </is>
      </c>
      <c r="B6" s="20" t="n">
        <v>0</v>
      </c>
      <c r="C6" s="17" t="inlineStr">
        <is>
          <t>For real estate purchase only</t>
        </is>
      </c>
    </row>
    <row r="7">
      <c r="A7" s="7" t="inlineStr">
        <is>
          <t>Equipment lease (60-month obligation)</t>
        </is>
      </c>
      <c r="B7" s="20" t="n">
        <v>45000</v>
      </c>
      <c r="C7" s="17" t="inlineStr">
        <is>
          <t>See Equipment sheet for total obligation</t>
        </is>
      </c>
    </row>
    <row r="8">
      <c r="A8" s="7" t="inlineStr">
        <is>
          <t>Landlord TI absorbed (rolls into rent)</t>
        </is>
      </c>
      <c r="B8" s="20" t="n">
        <v>105000</v>
      </c>
      <c r="C8" s="17" t="inlineStr">
        <is>
          <t>Effectively-free buildout capital</t>
        </is>
      </c>
    </row>
    <row r="9">
      <c r="A9" s="7" t="inlineStr">
        <is>
          <t>Founding-member presale revenue</t>
        </is>
      </c>
      <c r="B9" s="20" t="n">
        <v>30000</v>
      </c>
      <c r="C9" s="17" t="inlineStr">
        <is>
          <t>Bridges months 1-3 cash flow</t>
        </is>
      </c>
    </row>
    <row r="10">
      <c r="A10" s="7" t="inlineStr">
        <is>
          <t>Owner equity injection</t>
        </is>
      </c>
      <c r="B10" s="20" t="n">
        <v>45000</v>
      </c>
      <c r="C10" s="17" t="inlineStr">
        <is>
          <t>SBA-required equity stake</t>
        </is>
      </c>
    </row>
    <row r="11">
      <c r="A11" s="7" t="inlineStr">
        <is>
          <t>Friends &amp; family</t>
        </is>
      </c>
      <c r="B11" s="20" t="n">
        <v>0</v>
      </c>
      <c r="C11" s="17" t="inlineStr"/>
    </row>
    <row r="12">
      <c r="A12" s="7" t="inlineStr">
        <is>
          <t>ROBS (401k rollover)</t>
        </is>
      </c>
      <c r="B12" s="20" t="n">
        <v>0</v>
      </c>
      <c r="C12" s="17" t="inlineStr">
        <is>
          <t>Retirement funds as equity</t>
        </is>
      </c>
    </row>
    <row r="13">
      <c r="A13" s="7" t="inlineStr">
        <is>
          <t>HELOC / personal credit</t>
        </is>
      </c>
      <c r="B13" s="20" t="n">
        <v>0</v>
      </c>
      <c r="C13" s="17" t="inlineStr">
        <is>
          <t>Last resort; pledges home</t>
        </is>
      </c>
    </row>
    <row r="14">
      <c r="A14" s="7" t="inlineStr">
        <is>
          <t>Other</t>
        </is>
      </c>
      <c r="B14" s="20" t="n">
        <v>0</v>
      </c>
      <c r="C14" s="17" t="inlineStr"/>
    </row>
    <row r="16">
      <c r="A16" s="3" t="inlineStr">
        <is>
          <t>Total capital available</t>
        </is>
      </c>
      <c r="B16" s="26">
        <f>SUM(B5:B14)</f>
        <v/>
      </c>
    </row>
    <row r="18">
      <c r="A18" s="10" t="inlineStr">
        <is>
          <t>Total need (from Sensitivity sheet — Realistic scenario)</t>
        </is>
      </c>
      <c r="B18" s="25">
        <f>'Sensitivity Scenarios'!C8</f>
        <v/>
      </c>
    </row>
    <row r="19">
      <c r="A19" s="30" t="inlineStr">
        <is>
          <t>Funding gap (available minus need)</t>
        </is>
      </c>
      <c r="B19" s="31">
        <f>B16-B18</f>
        <v/>
      </c>
    </row>
    <row r="21">
      <c r="A21" s="17" t="inlineStr">
        <is>
          <t>Red = you do not have enough capital yet. Green = sources cover need. See /how-to-finance-a-gym for the standard SBA + TI + equipment-lease stack.</t>
        </is>
      </c>
    </row>
  </sheetData>
  <mergeCells count="3">
    <mergeCell ref="A1:C1"/>
    <mergeCell ref="A21:C21"/>
    <mergeCell ref="A2:C2"/>
  </mergeCells>
  <conditionalFormatting sqref="B19">
    <cfRule type="cellIs" priority="1" operator="lessThan" dxfId="0">
      <formula>0</formula>
    </cfRule>
    <cfRule type="cellIs" priority="2" operator="greaterThanOrEqual" dxfId="1">
      <formula>0</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6" customWidth="1" min="1" max="1"/>
    <col width="20" customWidth="1" min="2" max="2"/>
    <col width="20" customWidth="1" min="3" max="3"/>
    <col width="20" customWidth="1" min="4" max="4"/>
    <col width="20" customWidth="1" min="5" max="5"/>
  </cols>
  <sheetData>
    <row r="1" ht="30" customHeight="1">
      <c r="A1" s="9" t="inlineStr">
        <is>
          <t>Sensitivity Scenarios</t>
        </is>
      </c>
    </row>
    <row r="2">
      <c r="A2" s="2" t="inlineStr">
        <is>
          <t>Side-by-side total cost and cash need under four planning scenarios.</t>
        </is>
      </c>
    </row>
    <row r="4">
      <c r="A4" s="24" t="inlineStr">
        <is>
          <t>Metric</t>
        </is>
      </c>
      <c r="B4" s="24" t="inlineStr">
        <is>
          <t>Aggressive</t>
        </is>
      </c>
      <c r="C4" s="24" t="inlineStr">
        <is>
          <t>Realistic</t>
        </is>
      </c>
      <c r="D4" s="24" t="inlineStr">
        <is>
          <t>Conservative</t>
        </is>
      </c>
      <c r="E4" s="24" t="inlineStr">
        <is>
          <t>Stressed</t>
        </is>
      </c>
    </row>
    <row r="5">
      <c r="A5" s="7" t="inlineStr">
        <is>
          <t>Startup cost (excl. working capital)</t>
        </is>
      </c>
      <c r="B5" s="13">
        <f>(Facility!B22+Equipment!C13+'Licensing &amp; Insurance'!B15+'Software &amp; Tech Stack'!C11+Staff!E13+'Marketing &amp; Launch'!B14)*0.95</f>
        <v/>
      </c>
      <c r="C5" s="13">
        <f>(Facility!B22+Equipment!C13+'Licensing &amp; Insurance'!B15+'Software &amp; Tech Stack'!C11+Staff!E13+'Marketing &amp; Launch'!B14)</f>
        <v/>
      </c>
      <c r="D5" s="13">
        <f>(Facility!B22+Equipment!C13+'Licensing &amp; Insurance'!B15+'Software &amp; Tech Stack'!C11+Staff!E13+'Marketing &amp; Launch'!B14)*1.10</f>
        <v/>
      </c>
      <c r="E5" s="13">
        <f>(Facility!B22+Equipment!C13+'Licensing &amp; Insurance'!B15+'Software &amp; Tech Stack'!C11+Staff!E13+'Marketing &amp; Launch'!B14)*1.25</f>
        <v/>
      </c>
    </row>
    <row r="6">
      <c r="A6" s="7" t="inlineStr">
        <is>
          <t>Working capital reserve</t>
        </is>
      </c>
      <c r="B6" s="13">
        <f>6*'Working Capital'!B6</f>
        <v/>
      </c>
      <c r="C6" s="13">
        <f>9*'Working Capital'!B6</f>
        <v/>
      </c>
      <c r="D6" s="13">
        <f>12*'Working Capital'!B6</f>
        <v/>
      </c>
      <c r="E6" s="13">
        <f>15*'Working Capital'!B6</f>
        <v/>
      </c>
    </row>
    <row r="7">
      <c r="A7" s="7" t="inlineStr"/>
    </row>
    <row r="8">
      <c r="A8" s="22" t="inlineStr">
        <is>
          <t>TOTAL NEED (cost + working capital)</t>
        </is>
      </c>
      <c r="B8" s="32">
        <f>B5+B6</f>
        <v/>
      </c>
      <c r="C8" s="32">
        <f>C5+C6</f>
        <v/>
      </c>
      <c r="D8" s="32">
        <f>D5+D6</f>
        <v/>
      </c>
      <c r="E8" s="32">
        <f>E5+E6</f>
        <v/>
      </c>
    </row>
    <row r="10">
      <c r="A10" s="3" t="inlineStr">
        <is>
          <t>Suggested member ramp assumption</t>
        </is>
      </c>
    </row>
    <row r="11">
      <c r="A11" s="7" t="inlineStr">
        <is>
          <t>Members at month 6</t>
        </is>
      </c>
      <c r="B11" s="7" t="n">
        <v>120</v>
      </c>
      <c r="C11" s="7" t="n">
        <v>80</v>
      </c>
      <c r="D11" s="7" t="n">
        <v>55</v>
      </c>
      <c r="E11" s="7" t="n">
        <v>35</v>
      </c>
    </row>
    <row r="12">
      <c r="A12" s="7" t="inlineStr">
        <is>
          <t>Members at month 12</t>
        </is>
      </c>
      <c r="B12" s="7" t="n">
        <v>200</v>
      </c>
      <c r="C12" s="7" t="n">
        <v>140</v>
      </c>
      <c r="D12" s="7" t="n">
        <v>105</v>
      </c>
      <c r="E12" s="7" t="n">
        <v>75</v>
      </c>
    </row>
    <row r="14">
      <c r="A14" s="17" t="inlineStr">
        <is>
          <t>Plan for the Conservative or Stressed column. The cost of overfunding working capital is a small interest expense. The cost of underfunding it is closing.</t>
        </is>
      </c>
    </row>
  </sheetData>
  <mergeCells count="4">
    <mergeCell ref="A2:E2"/>
    <mergeCell ref="A14:E14"/>
    <mergeCell ref="A10:E10"/>
    <mergeCell ref="A1:E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4" customWidth="1" min="1" max="1"/>
    <col width="72" customWidth="1" min="2" max="2"/>
  </cols>
  <sheetData>
    <row r="1" ht="30" customHeight="1">
      <c r="A1" s="9" t="inlineStr">
        <is>
          <t>Glossary &amp; References</t>
        </is>
      </c>
    </row>
    <row r="3">
      <c r="A3" s="3" t="inlineStr">
        <is>
          <t>Key terms</t>
        </is>
      </c>
    </row>
    <row r="4" ht="30" customHeight="1">
      <c r="A4" s="33" t="inlineStr">
        <is>
          <t>TI (tenant improvement)</t>
        </is>
      </c>
      <c r="B4" s="5" t="inlineStr">
        <is>
          <t>Landlord-funded buildout capital amortized into rent. Typical 2026: $20-$80/sq ft for second-gen retail.</t>
        </is>
      </c>
    </row>
    <row r="5" ht="30" customHeight="1">
      <c r="A5" s="33" t="inlineStr">
        <is>
          <t>CAM (common area maintenance)</t>
        </is>
      </c>
      <c r="B5" s="5" t="inlineStr">
        <is>
          <t>Your pro-rata share of landlord costs for the building/center. Push to cap annual increases at 5-7%.</t>
        </is>
      </c>
    </row>
    <row r="6" ht="30" customHeight="1">
      <c r="A6" s="33" t="inlineStr">
        <is>
          <t>SBA 7(a)</t>
        </is>
      </c>
      <c r="B6" s="5" t="inlineStr">
        <is>
          <t>Primary SBA loan instrument for gym financing. Up to $5M, 10-25 year terms, ~10-30% down, prime + 2.75-4.75% rates.</t>
        </is>
      </c>
    </row>
    <row r="7" ht="30" customHeight="1">
      <c r="A7" s="33" t="inlineStr">
        <is>
          <t>SBA 504</t>
        </is>
      </c>
      <c r="B7" s="5" t="inlineStr">
        <is>
          <t>SBA loan for purchasing long-life fixed assets (typically real estate). Two-loan structure: conventional first (50%), CDC/SBA second (40%), 10% equity.</t>
        </is>
      </c>
    </row>
    <row r="8" ht="30" customHeight="1">
      <c r="A8" s="33" t="inlineStr">
        <is>
          <t>ARPU</t>
        </is>
      </c>
      <c r="B8" s="5" t="inlineStr">
        <is>
          <t>Average revenue per user (per member, per month). Target $110-$160 for boutique, $140-$200 for CrossFit, $35-$70 for full-service.</t>
        </is>
      </c>
    </row>
    <row r="9" ht="30" customHeight="1">
      <c r="A9" s="33" t="inlineStr">
        <is>
          <t>CAC</t>
        </is>
      </c>
      <c r="B9" s="5" t="inlineStr">
        <is>
          <t>Customer acquisition cost. Typical 2026: $80-$150 for boutique studios. Payback under 3 months ARPU is strong.</t>
        </is>
      </c>
    </row>
    <row r="10" ht="30" customHeight="1">
      <c r="A10" s="33" t="inlineStr">
        <is>
          <t>Payback period</t>
        </is>
      </c>
      <c r="B10" s="5" t="inlineStr">
        <is>
          <t>Months of ARPU required to recover CAC. Strong gyms: under 2 months. Typical: 2-4 months.</t>
        </is>
      </c>
    </row>
    <row r="11" ht="30" customHeight="1">
      <c r="A11" s="33" t="inlineStr">
        <is>
          <t>ROBS</t>
        </is>
      </c>
      <c r="B11" s="5" t="inlineStr">
        <is>
          <t>Rollover for Business Startups. Lets you use 401(k)/IRA funds as equity injection without early-withdrawal penalty.</t>
        </is>
      </c>
    </row>
    <row r="12" ht="30" customHeight="1">
      <c r="A12" s="33" t="inlineStr">
        <is>
          <t>BAA</t>
        </is>
      </c>
      <c r="B12" s="5" t="inlineStr">
        <is>
          <t>Business Associate Agreement. Required for any tool handling HIPAA-protected data (only relevant if integrating healthcare data).</t>
        </is>
      </c>
    </row>
    <row r="13" ht="30" customHeight="1">
      <c r="A13" s="33" t="inlineStr">
        <is>
          <t>Section 179</t>
        </is>
      </c>
      <c r="B13" s="5" t="inlineStr">
        <is>
          <t>IRS provision allowing full deduction of equipment purchases in year of purchase, up to the annual limit. Compare vs lease for tax planning.</t>
        </is>
      </c>
    </row>
    <row r="14" ht="30" customHeight="1">
      <c r="A14" s="33" t="inlineStr">
        <is>
          <t>Good-guy guarantee</t>
        </is>
      </c>
      <c r="B14" s="5" t="inlineStr">
        <is>
          <t>Personal guarantee that limits your liability if you give written notice and vacate by a specified date. Always push for this.</t>
        </is>
      </c>
    </row>
    <row r="15" ht="30" customHeight="1">
      <c r="A15" s="33" t="inlineStr">
        <is>
          <t>Co-tenancy clause</t>
        </is>
      </c>
      <c r="B15" s="5" t="inlineStr">
        <is>
          <t>Right to reduced rent or termination if anchor tenants leave a retail center. Huge if anchor matters to your traffic.</t>
        </is>
      </c>
    </row>
    <row r="18">
      <c r="A18" s="3" t="inlineStr">
        <is>
          <t>Treetop reference pages</t>
        </is>
      </c>
    </row>
    <row r="19">
      <c r="A19" s="6" t="inlineStr">
        <is>
          <t>Cost guide</t>
        </is>
      </c>
      <c r="B19" s="8" t="inlineStr">
        <is>
          <t>https://treetopgrowthstrategy.com/cost-to-start-a-gym</t>
        </is>
      </c>
    </row>
    <row r="20">
      <c r="A20" s="6" t="inlineStr">
        <is>
          <t>How to open a gym</t>
        </is>
      </c>
      <c r="B20" s="8" t="inlineStr">
        <is>
          <t>https://treetopgrowthstrategy.com/how-to-open-a-gym</t>
        </is>
      </c>
    </row>
    <row r="21">
      <c r="A21" s="6" t="inlineStr">
        <is>
          <t>How to finance a gym</t>
        </is>
      </c>
      <c r="B21" s="8" t="inlineStr">
        <is>
          <t>https://treetopgrowthstrategy.com/how-to-finance-a-gym</t>
        </is>
      </c>
    </row>
    <row r="22">
      <c r="A22" s="6" t="inlineStr">
        <is>
          <t>How long does it take</t>
        </is>
      </c>
      <c r="B22" s="8" t="inlineStr">
        <is>
          <t>https://treetopgrowthstrategy.com/how-long-does-it-take-to-open-a-gym</t>
        </is>
      </c>
    </row>
    <row r="23">
      <c r="A23" s="6" t="inlineStr">
        <is>
          <t>Lease negotiation</t>
        </is>
      </c>
      <c r="B23" s="8" t="inlineStr">
        <is>
          <t>https://treetopgrowthstrategy.com/gym-lease-negotiation-guide</t>
        </is>
      </c>
    </row>
    <row r="24">
      <c r="A24" s="6" t="inlineStr">
        <is>
          <t>Buy vs lease equipment</t>
        </is>
      </c>
      <c r="B24" s="8" t="inlineStr">
        <is>
          <t>https://treetopgrowthstrategy.com/should-i-buy-or-lease-gym-equipment</t>
        </is>
      </c>
    </row>
    <row r="25">
      <c r="A25" s="6" t="inlineStr">
        <is>
          <t>Pre-sale playbook</t>
        </is>
      </c>
      <c r="B25" s="8" t="inlineStr">
        <is>
          <t>https://treetopgrowthstrategy.com/gym-pre-sale-playbook</t>
        </is>
      </c>
    </row>
    <row r="26">
      <c r="A26" s="6" t="inlineStr">
        <is>
          <t>Membership pricing</t>
        </is>
      </c>
      <c r="B26" s="8" t="inlineStr">
        <is>
          <t>https://treetopgrowthstrategy.com/gym-membership-pricing-strategy</t>
        </is>
      </c>
    </row>
    <row r="27">
      <c r="A27" s="6" t="inlineStr">
        <is>
          <t>Marketing plan</t>
        </is>
      </c>
      <c r="B27" s="8" t="inlineStr">
        <is>
          <t>https://treetopgrowthstrategy.com/gym-marketing-plan</t>
        </is>
      </c>
    </row>
    <row r="28">
      <c r="A28" s="6" t="inlineStr">
        <is>
          <t>Hiring staff</t>
        </is>
      </c>
      <c r="B28" s="8" t="inlineStr">
        <is>
          <t>https://treetopgrowthstrategy.com/how-to-hire-gym-staff</t>
        </is>
      </c>
    </row>
    <row r="29">
      <c r="A29" s="6" t="inlineStr">
        <is>
          <t>Grand opening checklist</t>
        </is>
      </c>
      <c r="B29" s="8" t="inlineStr">
        <is>
          <t>https://treetopgrowthstrategy.com/gym-grand-opening-checklist</t>
        </is>
      </c>
    </row>
    <row r="30">
      <c r="A30" s="6" t="inlineStr">
        <is>
          <t>Replace front desk with AI</t>
        </is>
      </c>
      <c r="B30" s="8" t="inlineStr">
        <is>
          <t>https://treetopgrowthstrategy.com/how-to-replace-your-gym-front-desk-with-ai-agents</t>
        </is>
      </c>
    </row>
    <row r="31">
      <c r="A31" s="6" t="inlineStr">
        <is>
          <t>Free workbook page</t>
        </is>
      </c>
      <c r="B31" s="8" t="inlineStr">
        <is>
          <t>https://treetopgrowthstrategy.com/gym-startup-budget-workbook</t>
        </is>
      </c>
    </row>
  </sheetData>
  <mergeCells count="2">
    <mergeCell ref="A18:B18"/>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2026-05-23T02:11:54Z</dcterms:created>
  <dcterms:modified xmlns:dcterms="http://purl.org/dc/terms/" xmlns:xsi="http://www.w3.org/2001/XMLSchema-instance" xsi:type="dcterms:W3CDTF">2026-05-23T02:13:57Z</dcterms:modified>
</cp:coreProperties>
</file>